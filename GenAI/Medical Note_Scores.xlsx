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sreya/Desktop/capestone project/Capestone_Tobji/"/>
    </mc:Choice>
  </mc:AlternateContent>
  <xr:revisionPtr revIDLastSave="0" documentId="13_ncr:1_{85922BD8-C992-084A-B444-34E610290AC7}" xr6:coauthVersionLast="47" xr6:coauthVersionMax="47" xr10:uidLastSave="{00000000-0000-0000-0000-000000000000}"/>
  <bookViews>
    <workbookView xWindow="0" yWindow="500" windowWidth="38400" windowHeight="19480" xr2:uid="{00000000-000D-0000-FFFF-FFFF00000000}"/>
  </bookViews>
  <sheets>
    <sheet name="Sheet 1 - combin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1" i="1" l="1"/>
  <c r="F51" i="1"/>
  <c r="D51" i="1"/>
  <c r="C51" i="1"/>
</calcChain>
</file>

<file path=xl/sharedStrings.xml><?xml version="1.0" encoding="utf-8"?>
<sst xmlns="http://schemas.openxmlformats.org/spreadsheetml/2006/main" count="153" uniqueCount="149">
  <si>
    <t>combined</t>
  </si>
  <si>
    <t>dialogue</t>
  </si>
  <si>
    <t>predicted_note_fine-tuned model</t>
  </si>
  <si>
    <t>Sreya Score</t>
  </si>
  <si>
    <t>Doctors score</t>
  </si>
  <si>
    <t>predicted_note_prompting</t>
  </si>
  <si>
    <t>Doctor score</t>
  </si>
  <si>
    <t>Doctor: I just wanted to check a few things quickly, let's go together? Patient: Of course. Doctor: Any cardiac condition like heart failure or something? Patient: No. Doctor: Any cardiac catheterization? Patient: Hum, no. Doctor: Any history of irregular chest pain, palpitations or heartbeat? Patient: No. Doctor: Do you have high blood pressure? Patient: No. Doctor: Any history of high cholesterol? Patient: No. Doctor: Any excessive or abnormal sweating? Patient: Not really, no. Doctor: Any recent stress test or heart test? Patient: No. Doctor: Ok, thank you for answering these questions. Patient: No problem.</t>
  </si>
  <si>
    <t>No significant cardiac history.</t>
  </si>
  <si>
    <t>Chief Complaint (CC): 
Patient presents for routine check-up.
History of Present Illness (HPI): 
Patient reports no current symptoms or issues.
Review of Systems (ROS): 
Cardiovascular: Denies history of heart failure, cardiac catheterization, irregular chest pain, palpitations, or abnormal heartbeat. Denies high blood pressure and high cholesterol. Denies excessive or abnormal sweating. No recent stress test or heart test.
Past Medical History (PMH): 
No significant past medical history reported.
Medications (Meds): 
Not reported.
Allergies: 
Not reported.
Social History (SH): 
Not reported.
Physical Exam (PE): 
Not performed during this encounter.
Assessment: 
Patient is asymptomatic with no significant cardiovascular history.
Plan: 
Continue routine check-ups and maintain healthy lifestyle. No further action required at this time.</t>
  </si>
  <si>
    <t>Doctor: How did the patient do the activity test? Guest_clinician: Patient was good. I advised him to continue his normal activities as long as he feels well.</t>
  </si>
  <si>
    <t>Activity as tolerated.</t>
  </si>
  <si>
    <t>Assessment: The patient is in good health and able to perform normal activities without difficulty.
Plan: The patient is advised to continue his normal activities as long as he feels well. Regular follow-ups will be scheduled to monitor the patient's health status.</t>
  </si>
  <si>
    <t>Doctor: What's the problem? Guest_family: He has a lot of pain on both feet, and if you look at him, he looks like his feet rotated inward. Doctor: All right, let me see, okay, um, he has low feet rocker. Guest_family: All right. Doctor: I think he would benefit from a subtalar arthrodesis, a possible autograft, and an achille elongation. I'll review the details of this procedure right now. Guest_family: Can we do surgery soon? Doctor: Yes, we can. But we'll probably need another procedure until his foot matures further.</t>
  </si>
  <si>
    <t>Chief Complaint (CC): 
Pain in both feet with inward rotation.
History of Present Illness (HPI): 
The patient is a young male presenting with bilateral foot pain of unknown duration. The pain is associated with an inward rotation of the feet. The severity of the pain is not specified. No prior treatments were mentioned.
Physical Exam (PE): 
Examination of the feet reveals low feet rocker and inward rotation.
Assessment: 
The patient has bilateral foot pain with inward rotation, likely due to a structural abnormality.
Plan: 
The patient is recommended for subtalar arthrodesis, possible autograft, and achilles elongation. The details of these procedures will be reviewed with the family. Surgery can be scheduled soon, but another procedure may be necessary as the patient's foot matures.</t>
  </si>
  <si>
    <t>Doctor: How do you feel today? Patient: Much better. Antibiotics really seemed to help. Doctor: Are you still experiencing any symptoms? Patient: Um, no, fortunately. I had some wheezing when I started antibiotics, but it has improved a ton. I don't think wheezing is already there. Doctor: Okay, fine.</t>
  </si>
  <si>
    <t>Improved.</t>
  </si>
  <si>
    <t>Chief Complaint (CC): 
Patient reports improvement in symptoms after starting antibiotics.
History of Present Illness (HPI): 
Patient reports feeling much better after starting antibiotics. Initially experienced some wheezing with the onset of antibiotics, but this symptom has significantly improved and is no longer present.
Review of Systems (ROS): 
Respiratory: No current wheezing or other respiratory symptoms.
Assessment: 
Patient's condition has improved with antibiotic treatment. No current respiratory symptoms.
Plan: 
Continue current treatment plan. Monitor for any return of symptoms or adverse reactions to antibiotics.</t>
  </si>
  <si>
    <t>Doctor: Welcome in! _x000D_
Patient: Thank you. _x000D_
Doctor: Let us get a little background. What is your medical history? _x000D_
Patient: I have some memory loss problems. _x000D_
Doctor: What kind of memory problems? _x000D_
Patient: Well, I have seizures. _x000D_
Doctor: Do you know what kind of seizures that you have? _x000D_
Patient: I have temporal lobe seizures. _x000D_
Doctor: Do you have any other health conditions? _x000D_
Patient: I also have high blood pressure. _x000D_
Doctor: Okay.</t>
  </si>
  <si>
    <t>PMH:
1. Temporal lobe seizures.
2. Hypertension.</t>
  </si>
  <si>
    <t>Chief Complaint (CC): 
Memory loss problems
Past Medical History (PMH): 
Patient has a history of temporal lobe seizures and high blood pressure.</t>
  </si>
  <si>
    <t>Doctor: Do you have any related family history? Patient: Do you mean heart problems in the family? Doctor: Yes, something like that. Patient: My brother died of a heart attack. Suddenly everyone was shocked. Doctor: How old was he? Patient: He was not so old; he was just fifty years old.</t>
  </si>
  <si>
    <t>Family history is significant for a brother who died of a heart attack at age 50.</t>
  </si>
  <si>
    <t>Family History (FH): The patient reports a family history of heart disease, with a brother who died from a heart attack at the age of fifty.</t>
  </si>
  <si>
    <t>Doctor: Hello, I am Doctor James.
Guest_family: Hi Doctor, this is my daughter Miya, and I am Jena. 
Doctor: Nice to meet you ladies. So, Miya how old are you? 
Patient: I am fifteen. 
Doctor: Okay, so tell me what is going on with you?
Patient: Well, I am having a severe headache.
Guest_family: She has been complaining about it for almost six hours now. 
Doctor: Oh wow. Can you tell me where exactly the pain is?
Patient: Um, it started from my neck and then moved up to the back of my head. 
Doctor: I see. Did you get hurt or bump your head? 
Patient: No.
Doctor: Does she have any history of headaches?
Guest_family: No.
Doctor: Okay, any nausea or vomiting?
Patient: I am having nausea, but it's coming and going but no vomiting. Also, I am not able to tolerate light at all.
Doctor: Hm, are you able to see properly though, any change in your vision? 
Patient: No.
Doctor: Any fever? 
Patient: No.
Guest_family: No, no fever.
Doctor: Okay.</t>
  </si>
  <si>
    <t>CC: Severe headache.  
HPI: 15-year-old female Miya presents with a severe headache for the past 6 hours. The pain started in the neck and moved up to the back of the head. No history of trauma. No history of headaches. Associated with nausea, no vomiting. Photophobia. No visual changes. No fever.  
ROS: Negative except as in HPI.</t>
  </si>
  <si>
    <t>Chief Complaint (CC): 
Severe headache for six hours.
History of Present Illness (HPI): 
15-year-old female presents with a severe headache that started six hours ago. The pain originated in the neck and moved up to the back of the head. The patient denies any trauma or injury to the head. She reports associated intermittent nausea and photophobia, but no changes in vision or vomiting. 
Review of Systems (ROS): 
General: No fever. 
Neurological: Severe headache, intermittent nausea, photophobia. No changes in vision. 
Gastrointestinal: No vomiting.
Past Medical History (PMH): 
No significant past medical history.
Medications (Meds): 
None reported.
Allergies: 
No known allergies.
Social History (SH): 
The patient is a 15-year-old high school student. Further social history not obtained.
Physical Exam (PE): 
Physical examination pending.
Assessment: 
Severe headache with associated symptoms suggestive of possible migraine.
Plan: 
Physical examination to be conducted, including a detailed neurological exam. If the headache continues or worsens, consider further evaluation with imaging studies. Patient education on headache triggers and management. Follow-up as needed.</t>
  </si>
  <si>
    <t>Doctor: How are you doing today, ma'am?
Patient: I'm doing just fine.
Doctor: Any kind of alcohol consumption?
Patient: Nope.
Doctor: Have you ever taken any kind of illegal drugs?
Patient: Nope.
Doctor: What about smoking?
Patient: No. 
Doctor: Are you still working? 
Patient: No, sir. I had issues with my knees, and they had to put in the new ones. I was kind of disabled and that's why I retired.</t>
  </si>
  <si>
    <t>SH:
- No alcohol, tobacco, or illicit drug use.
- Retired.</t>
  </si>
  <si>
    <t>Social History (SH): The patient is a non-smoker, does not consume alcohol, and has no history of illegal drug use. She is retired due to knee issues that led to disability. 
Past Medical History (PMH): The patient has a history of knee issues, which required knee replacement surgery.</t>
  </si>
  <si>
    <t>Doctor: Does it bother you to develop more about your family history? Did one of your parents suffer from medical problems? Patient: Of course. My father had a heart disease. He died at seventy-five years of age. He had a diabetic sister and I think my mother also had diabetes. Doctor: I understood. Patient: My mother had a long history of mini-AV. She had no memory or dementia problems when she died at eighty-five years of age. They believe that she died due to old age. Doctor: Thank you for deepening.</t>
  </si>
  <si>
    <t>PMH: Father died at 75 years of age with heart disease.  Mother died at 85 years of age with a history of mini-AV.</t>
  </si>
  <si>
    <t>Family History (FH): 
The patient's father had heart disease and passed away at the age of seventy-five. He also had a sister with diabetes. The patient's mother had a history of mini-AV, but no memory or dementia problems. She passed away at the age of eighty-five, believed to be due to old age. She also had diabetes.</t>
  </si>
  <si>
    <t>Doctor: Are you taking any medications for your pain?_x000D_
Patient: Yeah, occasionally._x000D_
Doctor: Which one?_x000D_
Patient: Just a regular pain medicine.</t>
  </si>
  <si>
    <t>Meds: Occasional acetaminophen.</t>
  </si>
  <si>
    <t>Chief Complaint (CC): 
Patient reports pain.
History of Present Illness (HPI): 
The patient did not provide specific details about the onset, duration, severity, location, quality, associated symptoms, aggravating/relieving factors, or prior treatments for their pain.
Medications (Meds): 
The patient reports taking an unspecified over-the-counter pain medication occasionally. 
Assessment: 
The patient reports experiencing pain and is self-medicating with an unspecified over-the-counter pain medication.
Plan: 
Further evaluation is needed to assess the nature and cause of the patient's pain. The patient should be asked for more specific information about their pain and the medication they are taking. If necessary, appropriate pain management strategies, including medications, physical therapy, or referral to a pain specialist, should be considered. The patient should be educated about the potential risks and benefits of different pain management options. Follow-up should be scheduled to monitor the patient's pain and response to treatment.</t>
  </si>
  <si>
    <t>Doctor: Any past medical problems I should know of?
Patient: No, ma'am. I am forty three and this is the first time I have had a major issue. It's only been this past month where I've felt weaker than usual. I'm much more tired and short of breath whenever I move around.  
Doctor: Any recent weight loss? 
Patient: Yeah, I actually lost about fifteen pounds in less than two or three months. 
Doctor: How's your appetite? Any nausea, vomiting, diarrhea? 
Patient: Appetite is pretty fine. No nausea, vomiting, or diarrhea.
Doctor: How about fever, chills, sweats, cough? 
Patient: No, ma'am. 
Doctor: And any chest pain with your shortness of breath? 
Patient: No, ma'am.</t>
  </si>
  <si>
    <t>PMH: None.  
HPI: 43-year-old female presents with one-month history of weakness, fatigue, and dyspnea on exertion. She has lost 15 pounds over the past 2-3 months. No nausea, vomiting, diarrhea, fevers, chills, sweats, cough, or chest pain.  
ROS: Negative for fever, chills, sweats, cough, chest pain, nausea, vomiting, diarrhea.</t>
  </si>
  <si>
    <t>Chief Complaint (CC): 
Patient reports feeling weaker than usual, increased fatigue, shortness of breath, and unexplained weight loss.
History of Present Illness (HPI): 
43-year-old patient presents with a one-month history of generalized weakness, increased fatigue, and shortness of breath, particularly with exertion. The patient also reports an unintentional weight loss of approximately 15 pounds over the past two to three months. No associated symptoms of chest pain, fever, chills, sweats, cough, nausea, vomiting, or diarrhea. Appetite remains normal.
Review of Systems (ROS): 
General: Unintentional weight loss, fatigue, weakness.
Cardiovascular: No chest pain. Shortness of breath with exertion.
Gastrointestinal: Normal appetite. No nausea, vomiting, or diarrhea.
Respiratory: No cough, no fever, chills, or sweats.
Past Medical History (PMH): 
No known past medical issues.
Medications (Meds): 
No current medications.
Allergies: 
No known allergies.
Social History (SH): 
Not provided.
Physical Exam (PE): 
Not provided.
Assessment: 
Unexplained weight loss, fatigue, and shortness of breath.
Plan: 
Further diagnostic testing is needed to identify the cause of the patient's symptoms. This may include blood tests, imaging studies, and possibly referral to a specialist depending on the results. The patient should be educated about the importance of seeking immediate medical attention if symptoms worsen or new symptoms develop. Follow-up appointment should be scheduled to discuss test results and next steps in management.</t>
  </si>
  <si>
    <t>Doctor: It looks like your Xrays show bronchitis.  _x000D_
Patient: Is there anything I can take for it? _x000D_
Doctor: Yes, I'm going to prescribe you something that will help clear your lungs.</t>
  </si>
  <si>
    <t>CC: Bronchitis.</t>
  </si>
  <si>
    <t>Chief Complaint (CC): 
Patient seeks treatment for bronchitis.
Assessment: 
Bronchitis confirmed via X-ray.
Plan: 
Prescribe medication to help clear the patient's lungs. Follow-up appointment to monitor progress.</t>
  </si>
  <si>
    <t>Doctor: Have you had any procedures in the past? Patient: No.</t>
  </si>
  <si>
    <t>Past Medical History (PMH):
No past surgical history.</t>
  </si>
  <si>
    <t>Past Medical History (PMH): No past procedures.</t>
  </si>
  <si>
    <t>Doctor: Do you know anyone in your family who had cancer? Patient: I don't know anyone.</t>
  </si>
  <si>
    <t>Family history is noncontributory.</t>
  </si>
  <si>
    <t>Family History (FH): No known family history of cancer.</t>
  </si>
  <si>
    <t>Doctor: What brings you in today? 
Patient: I've had a lot of discomfort in my private area. 
Doctor: When did it start? 
Patient: It's been going on for about two weeks now. 
Doctor: Have you noticed any abnormal discharge? 
Patient: Not really, no. But it's been super itchy down there.  
Doctor: Any abdominal pain, nausea, vomiting?  
Patient: Uh no, but I'm having some pain here. 
Doctor: Near your pelvis? 
Patient: Yeah. 
Doctor: Have you started any new lotions or products? 
Patient: No. 
Doctor: Have you tried anything for the pain or itching? 
Patient: No, not yet. I thought it'd go away on it's own. 
Doctor: If it's okay with you, I'd like to do a pelvic exam. 
Patient: Fine with me. 
Doctor: Have you been sexually active prior to or after noticing these concerns? 
Patient: Uh once this past week, but it was pretty painful. 
Doctor: I see. You may have an infection, which is why I'd also like to send out samples to the lab. Did you use protection? 
Patient: Yeah, I take birth control. But I've been struggling a bit with my mood and I'm wondering if it's because of the new birth control pills. 
Doctor: We can look into that as well. Hang tight while I grab the nurse for the pelvic exam.</t>
  </si>
  <si>
    <t>CC: Vaginal discomfort.  
HPI: 2-week history of vaginal discomfort and itching. No abnormal discharge. No abdominal pain, nausea, or vomiting. Pelvic pain. No new lotions or products. No treatments. Recent sexual activity.  
PMH: Birth control pills.  
Allergies: None known.  
SH: Birth control pills.  
PE: Pelvic exam.  
Assessment/Plan: Vaginal discomfort, pelvic pain, mood changes. Pelvic exam and labs.</t>
  </si>
  <si>
    <t>Chief Complaint (CC): 
Patient reports discomfort and itching in the genital area for the past two weeks.
History of Present Illness (HPI): 
The patient is a female who presents with a two-week history of genital discomfort and itching. She denies any abnormal discharge but reports pain in the pelvic area. She has been sexually active and reports that intercourse was painful. She has not tried any treatments for her symptoms. She has not started any new lotions or products. She also mentions recent mood changes, which she suspects may be related to her new birth control pills.
Review of Systems (ROS): 
No abdominal pain, nausea, or vomiting reported. 
Past Medical History (PMH): 
No relevant past medical history provided.
Medications (Meds): 
Patient is currently on birth control pills.
Allergies: 
No known allergies.
Social History (SH): 
Patient is sexually active and uses birth control pills.
Physical Exam (PE): 
Pelvic exam pending.
Assessment: 
1. Genital discomfort and itching, possibly due to an infection.
2. Painful intercourse.
3. Mood changes possibly related to birth control pills.
Plan: 
1. Perform a pelvic exam and send samples to the lab for testing.
2. Monitor mood changes and consider possible adjustment of birth control pills if necessary.
3. Patient education on the importance of seeking medical attention when symptoms persist.
4. Follow-up appointment to discuss lab results and any necessary treatment options.</t>
  </si>
  <si>
    <t>Doctor: How about some surgery in the past? Patient: Well, I had colon surgery in nineteen eighty-nine or it was ninety, oh yes in nineteen ninety. Doctor: Okay and anything else? Patient: Oh yes, I had three surgeries for my breast one was the same year as my colon surgery, one was before that. So, the first one was in nineteen eighty-seven I think then nineteen ninety and the last one was in two thousand five. Doctor: Wow, you remember the years too. Patient: Yes, surprisingly.</t>
  </si>
  <si>
    <t>PMH:
- Colon surgery in 1990.
- Breast surgeries in 1987, 1990, and 2005.</t>
  </si>
  <si>
    <t>Past Medical History (PMH): 
1. Colon surgery in 1990.
2. Three breast surgeries in 1987, 1990, and 2005.</t>
  </si>
  <si>
    <t>Doctor: Tell me about your family medical history. Patient: All I know is that my grandmother has diabetes.</t>
  </si>
  <si>
    <t>Family history is significant for diabetes.</t>
  </si>
  <si>
    <t>Past Medical History (PMH): Patient's grandmother has diabetes.</t>
  </si>
  <si>
    <t>Doctor: Are you aware of any medical problems in your family? Patient: I don't know. Doctor: What about your father's family? Patient: I don't know my father. I have no idea about his family. Doctor: What about his mother? Maternal family? Patient: I have no idea. I'm not in contact with her.</t>
  </si>
  <si>
    <t>No family history available.</t>
  </si>
  <si>
    <t>Family History (FH): Patient reports no known family history due to lack of contact with both paternal and maternal sides of the family.</t>
  </si>
  <si>
    <t>Doctor: So it looks like you're here today for a noticeable foreign body sensation in your eye. 
Patient: Yeah, my left eye. Never had this happen to me in my forty one years.
Doctor: First time for everything I guess! When did you first notice the sensation? 
Patient: Um when I was at work this morning. It felt like something was in my eye. I went to the bathroom mirror to check it out, but didn't see anything. I flushed my eyes with water in hopes of it helping with the weird feeling.
Doctor: Okay. Hm, are you experiencing any eye pain, blurred vision, or sensitivity to light? 
Patient: The pain has definitely gotten worse since this morning. My vision is fine and bright lights don't seem to be a problem.</t>
  </si>
  <si>
    <t>CC: Left eye foreign body sensation.  
HPI: 41-year-old female presents with left eye foreign body sensation since this morning. She was at work when she first noticed the sensation. She flushed her eyes with water. She has had increasing pain since that time. No visual changes.  
ROS: Negative except as in HPI.</t>
  </si>
  <si>
    <t>Chief Complaint (CC): 
Foreign body sensation in left eye.
History of Present Illness (HPI): 
41-year-old patient presents with a foreign body sensation in the left eye, first noticed at work this morning. The patient attempted to flush the eye with water but reports no relief. The patient reports increasing pain in the eye throughout the day, but no changes in vision or sensitivity to light.
Review of Systems (ROS): 
Eyes: Positive for pain, negative for blurred vision and photophobia.
Past Medical History (PMH): 
No relevant past medical history.
Medications (Meds): 
No current medications reported.
Allergies: 
No known allergies.
Social History (SH): 
The patient works, but the specific occupation is not mentioned.
Physical Exam (PE): 
Eyes: Pending examination.
Assessment: 
Foreign body sensation in left eye with associated pain.
Plan: 
Perform a thorough eye examination to identify potential foreign body or other causes of discomfort. Depending on the findings, may need to irrigate the eye or refer to ophthalmology. Will provide patient education on eye care and potential need for follow-up.</t>
  </si>
  <si>
    <t>Doctor: Do you have a heart condition like heart failure or something like that? Patient: No. Doctor: Do you have any cardiac catheterization? Patient: Um, no. Doctor: Any history of chest pain, palpitations, or irregular heartbeat? Patient: No. Doctor: Do you have high blood pressure? Patient: No. Doctor: Any history of high cholesterol? Patient: No. Doctor: Any excessive or abnormal sweating? Patient: Not really, no. Doctor: Any stress tests or recent cardiac tests? Patient: No. Doctor: Okay, thanks for answering these questions. Patient: No problem.</t>
  </si>
  <si>
    <t>Chief Complaint (CC): 
Patient did not present a specific complaint.
History of Present Illness (HPI): 
Not applicable as patient did not present a specific complaint.
Review of Systems (ROS): 
Cardiovascular: Denies heart failure, cardiac catheterization, chest pain, palpitations, irregular heartbeat, high blood pressure, and high cholesterol. Denies excessive or abnormal sweating. No recent cardiac tests or stress tests.
Past Medical History (PMH): 
No known history of cardiovascular disease.
Medications (Meds): 
Not discussed.
Allergies: 
Not discussed.
Social History (SH): 
Not discussed.
Physical Exam (PE): 
Not discussed.
Assessment: 
No cardiovascular complaints or history.
Plan: 
No specific plan as patient did not present a specific complaint.</t>
  </si>
  <si>
    <t>Doctor: Do you use tobacco products? Cigarettes, chewing tobacco or vaping? 
Patient: I used to smoke a pack a day.  I quit that awful habit in nineteen eighty five. 
Doctor: Do you work? 
Patient: I am retired.
Doctor: Wonderful. Is your husband retired with you?
Patient: Yes. We both are. I cannot imagine working a full time job at seventy six years old.</t>
  </si>
  <si>
    <t>SH:
Tobacco: Former smoker, quit in 1985.
Occupation: Retired.
Marital Status: Married.</t>
  </si>
  <si>
    <t>Social History (SH): The patient is a 76-year-old retired female. She has a history of tobacco use, smoking a pack a day, but quit in 1985. Her husband is also retired.</t>
  </si>
  <si>
    <t>Doctor: You okay there? 
Patient: Uh yeah, sorry. I'm just trying to adjust the stretcher. 
Doctor: Want some help? 
Patient: No, thank you. I think I got it. 
Doctor: So how're you doing? 
Patient: Fine, but I have this weird lump in my chest. 
Doctor: When did you first notice it? 
Patient: It's been there for a while. I'd say almost half a year. 
Doctor: Have you seen anyone for it? 
Patient: No, not until now. 
Doctor: Is it causing you pain? And has it changed in size at all?
Patient: Not really. It's just noticeable when I run my fingers over it. 
Doctor: Have you spotted any swelling or redness to the area? Any drainage? 
Patient: No. 
Doctor: I see. Okay. Let me take a look and then I'll have you walk down the hall to get an Xray so we can see what's going on.</t>
  </si>
  <si>
    <t>CC: Chest mass.  
HPI: Patient reports a chest mass that has been present for approximately 6 months. No pain, swelling, redness, or drainage.  
Plan: Chest X-ray.</t>
  </si>
  <si>
    <t>Chief Complaint (CC): 
Patient presents with a lump in the chest.
History of Present Illness (HPI): 
The patient reports noticing a lump in the chest for approximately six months. The lump is not associated with pain, swelling, redness, or drainage. It is most noticeable when the patient runs their fingers over it. The patient has not sought medical attention for this issue until now.
Review of Systems (ROS): 
No other symptoms reported.
Past Medical History (PMH): 
Not discussed.
Medications (Meds): 
Not discussed.
Allergies: 
Not discussed.
Social History (SH): 
Not discussed.
Physical Exam (PE): 
Pending physical examination and chest X-ray.
Assessment: 
Unexplained chest lump.
Plan: 
The doctor plans to conduct a physical examination of the chest lump and order a chest X-ray to further investigate the lump.</t>
  </si>
  <si>
    <t>Doctor: How are you feeling? 
Patient: I am feeling better now. 
Doctor: What happened last night? 
Guest_family: She went out to a party last night. She came home drunk and high. 
Doctor: What did you take? 
Patient: I took Ecstasy. I only had two drinks. 
Doctor: How much Ecstasy did you take? 
Patient: I didn't take them all at once. I think I took six tabs.  
Doctor: What time did you start taking the tablets? 
Patient: We started taking it kind of late. I think it was midnight. 
Guest_family: When she came home, she was agitated and physically shaking. She was pacing all over the house. Then she threw up. That is when I got nervous and called nine one one. 
Doctor: Mom, did you notice any blood, or any yellow or green color in the vomit? 
Guest_family:  No. 
Doctor: Are you still feeling nauseous? 
Patient: No. I feel fine. Well, I feel weird but not nauseous.
Doctor: Are you experiencing any pain at all? 
Patient: No. 
Doctor: Did you or do you feel depressed? 
Patient: No. 
Doctor: Do you or have you ever had suicidal thoughts? 
Patient: No. 
Doctor: Are you seeing or hearing things that are not real? 
Patient: No. 
Doctor: Do you or have you ever had thoughts of harming yourself? 
Patient: No. I was not trying to harm myself or anyone else. I just wanted to have a little fun. 
Guest_family: She seems to be back to her usual self now. 
Doctor: Just one more question. Prior to last night have you had any recent illnesses or injuries? 
Patient: No.</t>
  </si>
  <si>
    <t>No acute distress.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 is alert and oriented x3.  She is in no acute distress.  She</t>
  </si>
  <si>
    <t>Chief Complaint (CC): 
Patient presented with agitation, physical shaking, and vomiting after consuming alcohol and Ecstasy.
History of Present Illness (HPI): 
The patient is a young female who attended a party last night where she consumed alcohol and Ecstasy. She reports taking six tabs of Ecstasy starting around midnight and also had two alcoholic drinks. Upon returning home, she was noted to be agitated and physically shaking, pacing around the house, and subsequently vomited. There was no blood or abnormal color noted in the vomit. She denies any current nausea or pain. She also denies any current or past feelings of depression, suicidal ideation, hallucinations, or self-harm. She states she was not trying to harm herself and only wanted to have fun. 
Review of Systems (ROS): 
Negative for recent illnesses or injuries. 
Past Medical History (PMH): 
No known chronic conditions, past hospitalizations, or surgeries.
Medications (Meds): 
No known medications.
Allergies: 
No known allergies.
Social History (SH): 
The patient is a young female who occasionally consumes alcohol and uses recreational drugs. 
Physical Exam (PE): 
Vital signs stable. No objective findings reported.
Assessment: 
Acute intoxication with alcohol and Ecstasy.
Plan: 
1. Monitor patient closely for any signs of complications related to drug and alcohol use.
2. Provide education on the dangers and potential consequences of drug and alcohol use.
3. Recommend substance abuse counseling.
4. Follow-up appointment in one week to assess recovery and discuss substance use.</t>
  </si>
  <si>
    <t>Doctor: What do you do? Are you working or in school?
Patient: I am in school.
Doctor: Good.
Patient: Thanks.</t>
  </si>
  <si>
    <t>Social History (SH):
- The patient is a student.</t>
  </si>
  <si>
    <t>Social History (SH): The patient is currently in school.</t>
  </si>
  <si>
    <t>Doctor: Have you ever had surgery, ma'am? _x000D_
Patient: Yes, I had it for melanoma some time ago. _x000D_
Doctor: I see here that you had a hysterectomy as well, is that correct? _x000D_
Patient: Oh, yes, that's true. I had that done too.</t>
  </si>
  <si>
    <t>Past Medical History (PMH):
- Melanoma
- Hysterectomy</t>
  </si>
  <si>
    <t>Past Medical History (PMH): 
1. History of melanoma with surgical intervention.
2. History of hysterectomy.</t>
  </si>
  <si>
    <t>Doctor: Do you know any familiar illnesses in your family? Patient: You mean like B P, high sugar? Doctor: Yes. Patient: No, no one in my family has anything like that. Doctor: Great.</t>
  </si>
  <si>
    <t>No known family history of hypertension or diabetes.</t>
  </si>
  <si>
    <t>Past Medical History (PMH): No known familial illnesses such as hypertension or diabetes.</t>
  </si>
  <si>
    <t>Doctor: How would you rate your general health?_x000D_
Patient: I've been in reasonably good health at least physically. I try to go on frequent walks and eat a clean diet. However, there was one instance where I was not well mentally. After my husband died in nineteen seventy five, I had what I believe was a nervous breakdown. As a result of this, I was hospitalized for several weeks and treated with E C T. _x000D_
Doctor: I'm so sorry to hear about the loss of your husband. I can't imagine how difficult that must've been. I'm glad that you sought the care that you needed to feel better at that time. Did this happen when you were living in the United States or Korea?_x000D_
Patient: This all happened when I was living in Korea. I'm grateful that I had my family and friends to support me._x000D_
Doctor: Social support is very important, especially when you are processing the loss of a loved one. _x000D_
Patient: Absolutely. _x000D_
Doctor: I have a few more questions before we move on. Any past medical problems?_x000D_
Patient: I used to have high blood pressure._x000D_
Doctor: When you say used to, do you mean it's been resolved now?_x000D_
Patient: Yes._x000D_
Doctor: Great news. How about surgeries? Have you had any in the past?_x000D_
Patient: None whatsoever._x000D_
Doctor: Any alcohol or tobacco?_x000D_
Patient: No, I stay away from things like that.</t>
  </si>
  <si>
    <t>PMH: History of hypertension, now resolved.  
SH: Noncontributory.</t>
  </si>
  <si>
    <t>Chief Complaint (CC): 
Patient reports no current complaints.
History of Present Illness (HPI): 
The patient reports being in reasonably good physical health, maintaining a clean diet and engaging in frequent walks. She reports a past episode of significant mental distress following the death of her husband in 1975, which resulted in a nervous breakdown and subsequent hospitalization for several weeks in Korea. She was treated with Electroconvulsive Therapy (ECT) during this time.
Review of Systems (ROS): 
All systems reviewed and are negative.
Past Medical History (PMH): 
The patient has a history of high blood pressure, which is now resolved. She also has a history of mental health issues, specifically a nervous breakdown in 1975.
Medications (Meds): 
No current medications reported.
Allergies: 
No known allergies.
Social History (SH): 
The patient is a widow who lives a healthy lifestyle, including a clean diet and regular exercise. She does not consume alcohol or use tobacco. She has a strong social support system.
Physical Exam (PE): 
Physical exam not performed during this encounter.
Assessment: 
1. Resolved high blood pressure
2. Past mental health issue - nervous breakdown in 1975
Plan: 
Continue healthy lifestyle habits. Regular monitoring of blood pressure. Mental health support as needed.</t>
  </si>
  <si>
    <t>Patient: Hello, doctor. Doctor: So I've reviewed your past notes, are there any other diagnoses I should know about? Patient: Well, I've had a depression for a while now. Doctor: Thank you for telling me about it.</t>
  </si>
  <si>
    <t>PMH: Depression.</t>
  </si>
  <si>
    <t>Past Medical History (PMH): Patient reports a history of depression.</t>
  </si>
  <si>
    <t>Doctor: What do you use to treat your asthma? Patient: I use my Albuterol inhaler.</t>
  </si>
  <si>
    <t>Meds:
- Albuterol.</t>
  </si>
  <si>
    <t>Medications (Meds): Albuterol inhaler.</t>
  </si>
  <si>
    <t>Doctor: Let's check your throat. Okay, I don't see any swelling or any mass. Is there any pain when I touch you? _x000D_
Patient: No pain. _x000D_
Doctor: I don't feel any kind of lump in your throat. That is a good sign. It looks very flexible and symmetric.</t>
  </si>
  <si>
    <t>Throat exam: No swelling, mass, or pain on palpation.  No lumps.  Flexible and symmetric.</t>
  </si>
  <si>
    <t>Chief Complaint (CC): 
Patient concerned about throat issues.
History of Present Illness (HPI): 
The patient reports no pain in the throat. No other symptoms were reported.
Review of Systems (ROS): 
ENT: No swelling, mass, or pain in the throat.
Physical Exam (PE): 
ENT: Throat appears flexible and symmetric. No palpable lumps or masses.
Assessment: 
No apparent throat abnormalities.
Plan: 
No further action required at this time. Patient to report any changes or new symptoms.</t>
  </si>
  <si>
    <t>Doctor: Welcome back. 
Patient: Thank you. 
Doctor: You are back for a follow up on your right arm pain, right? 
Patient: Yes. It has been almost a year since the pain first started. 
Doctor: How has your arm been feeling? 
Patient: I still have this dull pain in my upper outer area of my arm. 
Doctor: How long does the pain last? 
Patient: It was coming and going, but now the pain is more persistent since I last saw you. It is still happening every day. 
Doctor: Remind me again. You are right handed. Right? 
Patient: Yeah. It makes is hard to do things with the persistent pain. 
Doctor: I bet it does. Are you experiencing any numbness or tingling sensation in your arm or hand? 
Patient: No, but I have had this achy sensation in my hand radiating down to my fingers. 
Doctor: Do you have a history of any other neck or shoulder injuries? 
Patient: It is not from a specific injury but I have had this neck pain for thirty years. 
Doctor: Did you see anyone for the neck pain? 
Patient: Yes. I saw someone for it in two thousand and six, and then I developed this ear pain. They could not figure out what was going on so eventually I was sent to have an M R I of my neck and upper spine, which showed some degenerative changes. Then I was referred to Doctor X who was treating me for neck pain.  He gave me steroid injections. 
Doctor: Are you still seeing Doctor X for the epidural injections? 
Patient: Yes. I have been seeing him since two thousand and seven. 
Doctor: How old are you?
Patient: I am fifty eight. 
Doctor: Are you experiencing any symptoms from receiving the injections? 
Patient: Those are for neck pain. My arm pain recent. I have been having the injections for a while now, without any trouble. 
Doctor: What medications have you been taking for the pain? 
Patient: There are a few of them that I take. I gave the list to the nurse. 
Doctor: Okay. 
Patient: I also have taken several Medrol packs. They make my blood sugars to increase so I try not to take it. 
Doctor: Okay. Does the pain prevent you from doing your daily activities or decrease your quality of life? 
Patient: No. I can do everything like normal, but constant nagging pain does get to me at times.</t>
  </si>
  <si>
    <t>CC: Right arm pain.  
HPI: The patient is a 58-year-old right-handed female who presents with right arm pain.  The pain has been present for almost a year.  The pain is located in the upper outer aspect of the arm.  The pain is described as a dull ache.  The pain was intermittent but has become more persistent since she was last seen.  The pain is now present on a daily basis.  The patient denies any numbness or tingling in the arm or hand.  She does have an achy sensation in the hand radiating down to the fingers.  The patient has a history of neck pain for the past 30 years.  She was seen in 2006 for neck pain and developed ear pain.  An MRI of the neck and upper spine showed some degenerative changes.  She was referred to Dr. X who has been treating her for neck pain.  She has been receiving epidural steroid injections since 2007.  The patient has been tolerating the injections well.  The patient has been taking Medrol dose packs for the pain.  She has noted that her blood sugars have been elevated when she takes the Medrol dose packs.  The patient denies any functional limitations due to the pain.  
ROS: Negative except as mentioned in the HPI.  
PMH: Significant for neck pain.  
Meds: Not available.  
Allergies: Not available.  
SH: Not available.  
PE: Not available.</t>
  </si>
  <si>
    <t>Chief Complaint (CC): 
Persistent right arm pain.
History of Present Illness (HPI): 
58-year-old right-handed patient presents with a one-year history of dull pain in the upper outer area of the right arm. The pain was initially intermittent but has become more persistent. The patient also reports an achy sensation in the hand radiating down to the fingers. No numbness or tingling sensation reported. The patient has a long-standing history of neck pain and has been receiving epidural steroid injections for the same since 2007. 
Review of Systems (ROS): 
No other symptoms reported.
Past Medical History (PMH): 
Chronic neck pain for thirty years. MRI of the neck and upper spine in 2006 showed degenerative changes. 
Medications (Meds): 
Multiple medications for pain, list provided to the nurse. Patient has taken several Medrol packs but tries to avoid due to increased blood sugar levels.
Allergies: 
No known allergies.
Social History (SH): 
Not provided.
Physical Exam (PE): 
Not provided.
Assessment: 
1. Persistent right arm pain.
2. Chronic neck pain with degenerative changes in the neck and upper spine.
Plan: 
1. Continue current pain management regimen.
2. Monitor for any changes in symptoms or new symptoms.
3. Patient education on managing persistent pain.
4. Follow-up as needed.</t>
  </si>
  <si>
    <t>Doctor: Alright we already spoke about your past medical history, anything else you might want to add?
Guest_family: Oh, dad did you also talk about your depression?
Doctor: Depression? I don't think we spoke about that.
Patient: Yeah we didn't, it slipped out of my mind.
Guest_family: My father has a history of depression and anxiety.
Doctor: Okay, let me make a note of it.</t>
  </si>
  <si>
    <t>PMH: Depression and anxiety.</t>
  </si>
  <si>
    <t>Past Medical History (PMH): Patient has a history of depression and anxiety.</t>
  </si>
  <si>
    <t>Doctor: Any changes in appetite? Patient: Um, no. Doctor: Any stomach pains or changes in bowel deposition? Patient: No. Doctor: Any history of intestinal problems? Patient: No, not really. Doctor: Any problems with hernia? Patient: No. Doctor: Any history of stomach ulcer? Patient: No. Doctor: Did you notice any rectal bleeding? Patient: No. Doctor: Any liver problems or jaundice? Patient: Um, no. Doctor: Okay.</t>
  </si>
  <si>
    <t>No abdominal pain, no diarrhea, no GI problems, no hernia, no ulcer, no rectal bleeding, no liver problems, no jaundice.</t>
  </si>
  <si>
    <t>Review of Systems (ROS): 
- No changes in appetite.
- No stomach pains or changes in bowel deposition.
- No history of intestinal problems.
- No problems with hernia.
- No history of stomach ulcer.
- No rectal bleeding.
- No liver problems or jaundice.</t>
  </si>
  <si>
    <t>Doctor: I see here that you have no surgical history. Is this correct? _x000D_
Patient: Yes, indeed. At least for now. Who knows what the future will bring.</t>
  </si>
  <si>
    <t>Past Medical History (PMH): No surgical history.</t>
  </si>
  <si>
    <t>Doctor: What do you do to live? Patient: I am an officer in the U.S. Navy office, specialist in artillery repair. Doctor: Do you drink alcohol? Patient: I drink socially but I stop two years ago. Doctor: How about smoking and drugs? Patient: No, not that.</t>
  </si>
  <si>
    <t>**Social History (SH):** The patient is an officer in the U.S. Navy office, specialist in artillery repair. He stopped drinking alcohol two years ago. He denies smoking and drug use.</t>
  </si>
  <si>
    <t>Social History (SH): The patient is an officer in the U.S. Navy, specializing in artillery repair. He reports social drinking but stopped two years ago. He denies any history of smoking or illicit drug use.</t>
  </si>
  <si>
    <t>Doctor: Hello. How are you doing today? 
Patient: I want to get surgery on my leg. 
Doctor: Have you ever had a surgery. 
Patient: I did. Here's a list of them. 
Doctor: Looks like you had eye surgery, cataract surgery, and lumbar decompression, correct? 
Patient: Yeah. So, what options do I have for surgery? 
Doctor: I need to see what the problem is first.</t>
  </si>
  <si>
    <t>CC: Surgery consultation.  
PMH: History of cataract surgery, eye surgery, and lumbar decompression.</t>
  </si>
  <si>
    <t>Chief Complaint (CC): 
Patient requests leg surgery.
History of Present Illness (HPI): 
The patient did not provide information about the current problem with the leg.
Past Medical History (PMH): 
The patient has a history of eye surgery, cataract surgery, and lumbar decompression.
Assessment: 
The patient is requesting leg surgery, but the specific problem requiring surgery is not yet identified.
Plan: 
The doctor needs to evaluate the patient's leg to determine the problem and discuss potential surgical options.</t>
  </si>
  <si>
    <t>Doctor: Do you have any medical conditions that I should know about?
Patient: No, not that I know of. 
Doctor: So, there's no history of depression, or cancer, or high blood pressure? 
Patient: No, it's not ringing any bells.</t>
  </si>
  <si>
    <t>PMH: No significant past medical history.</t>
  </si>
  <si>
    <t>Past Medical History (PMH): The patient denies any known medical conditions including depression, cancer, or high blood pressure.</t>
  </si>
  <si>
    <t>Doctor: Okay I am looking at you for multiple issues today. One of the biggest being swelling on your left leg. Can you tell me more about that?
Patient: Yes sure. I got this swelling for almost three years now, and it has been worse for the past two to three months. Sometimes it gets better in the morning when I get up, but then throughout the day it begins to swell again.  Lately it is staying bigger, and it feel uncomfortable with it being so large.  The right leg also swells, but not nearly like the left leg.
Doctor: How old are you, miss?
Patient: I am forty four. My biggest problem is this pain in my left shoulder. I feel as if this low back pain is due to a poor mattress. 
Doctor: Did you hurt your shoulder?
Patient: No, I don't remember hurting shoulder, but gradually I am losing some mobility.  It is hard for me to get my hands behind my back or behind my head.  I am losing strength in the left shoulder gradually for the last year.
Doctor: Ok let's look at your labs.
Patient: So far white counts are high. In April two thousand five Doctor X Y Z was asked to look at my high white count, but she thought it wasn't a problem and asked me to come for follow up.
Doctor: Any other complaints?
Patient: I have a lot of frequency with urination, and I get up to pee at night at least two to three times.   Also, I have gained weight, I think about twelve pounds since March.  Right now, I am two eighty four pounds.
Doctor: Okay. So, I can see that your blood pressure is staying stable.  You do take Atenolol twelve point five M G per day and Lasix as needed. 
Patient: Yes, that's correct. It makes me pee so much. I do not take it.
Doctor: How about chest pain or shortness of breath?
Patient: No chest pain, but I am gradually feeling short of breath.
Doctor: What work you do?
Patient: I work for the city of Wichita as bus dispatcher. My work demands sitting a lot, and just really does not move around much.  But towards the end of the day my leg swells up.
Doctor: Okay that's okay.
Patient: I need cholesterol check right?
Doctor: Yes, you do, but all the other labs are normal.</t>
  </si>
  <si>
    <t>CC: Swelling on the left leg.  
HPI: The patient is a 44-year-old female with swelling on the left leg for almost three years, worse for the past two to three months.  Sometimes it gets better in the morning when she gets up, but then throughout the day it begins to swell again.  Lately it is staying bigger, and it feel uncomfortable with it being so large.  The right leg also swells, but not nearly like the left leg.  She also has pain in her left shoulder.  She feels as if this low back pain is due to a poor mattress.  She does not remember hurting her shoulder, but gradually she is losing some mobility.  It is hard for her to get her hands behind her back or behind her head.  She is losing strength in the left shoulder gradually for the last year.  So far white counts are high.  In April 2005 Dr. X Y Z was asked to look at her high white count, but she thought it wasn't a problem and asked her to come for follow up.  She has a lot of frequency with urination, and she gets up to pee at night at least two to three times.  Also, she has gained weight, she thinks about twelve pounds since March.  Right now, she is 284 pounds.  She does take Atenolol 12.5 mg per day and Lasix as needed.  She does not take the Lasix because it makes her pee so much.  She has no chest pain, but she is gradually feeling short of breath.  She works for the city of Wichita as bus dispatcher.  Her work demands sitting a lot, and just really does not move around much.  But towards the end of the day her leg swells up.  
ROS: Positive for swelling on the left leg, pain in the left shoulder, low back pain, high white counts, frequency with urination, nocturia, weight gain, shortness of breath, and leg swelling.  
PMH: High white counts.  
Meds: Atenolol 12.5 mg per day and Lasix as needed.  
SH: She works for the city of Wichita as bus dispatcher.  She is a nonsmoker.  
Allergies: No known drug allergies.</t>
  </si>
  <si>
    <t>Chief Complaint (CC): 
Left leg swelling, left shoulder pain, and frequent urination.
History of Present Illness (HPI): 
The patient is a 44-year-old female who presents with a three-year history of left leg swelling, which has worsened over the past two to three months. The swelling is worse in the evenings and improves in the mornings. She also reports gradual loss of mobility and strength in her left shoulder over the past year, without any known injury. She also reports frequent urination, with nocturia up to 2-3 times per night. The patient has also gained approximately 12 pounds since March.
Review of Systems (ROS): 
The patient denies chest pain but reports gradually increasing shortness of breath. 
Past Medical History (PMH): 
The patient has a history of high white blood cell count, which was evaluated by Dr. XYZ in April 2005 and deemed not problematic at that time.
Medications (Meds): 
Atenolol 12.5mg daily, Lasix as needed (though patient reports not taking due to increased urination).
Allergies: 
No known allergies.
Social History (SH): 
The patient works as a bus dispatcher for the city of Wichita, a job that involves prolonged sitting. She has gained weight recently.
Physical Exam (PE): 
The patient's blood pressure is stable. Notable for significant left leg swelling, more so than the right leg. Decreased mobility and strength in the left shoulder.
Assessment: 
1. Left leg swelling, chronic, worsening.
2. Left shoulder pain with decreased mobility and strength.
3. Frequent urination with nocturia.
4. Weight gain.
Plan: 
1. Further evaluation of the left leg swelling, including possible imaging studies.
2. Referral to physical therapy for evaluation and treatment of left shoulder pain and decreased mobility.
3. Urinalysis to evaluate for possible causes of frequent urination.
4. Discussion on lifestyle modifications for weight management.
5. Follow-up appointment to monitor symptoms and response to interventions.</t>
  </si>
  <si>
    <t>Doctor: So, do you smoke? Patient: No. Doctor: What about alcohol? Patient: I drink, but just normal. I have no problem with alcohol.</t>
  </si>
  <si>
    <t>**Social History (SH):** The patient is a nonsmoker. He drinks alcohol socially.</t>
  </si>
  <si>
    <t>Social History (SH): The patient denies smoking. He admits to drinking alcohol but does not believe it to be a problem.</t>
  </si>
  <si>
    <t>Doctor: Has anyone in your family had heart diseases? 
Patient: Yes my father. They did his heart bypass surgery when he was sixty. 
Doctor: Is he alright now?
Patient: Yes I know what you mean.
Patient: Yes by God's grace, both my parents are alive.
Doctor: What exactly was the heart disease named? Do you know?
Patient: Yeah they said it was something called coronary artery disease and he had many strokes due to that.
Doctor: How old is he now?
Patient: My father is in his eighties. My mother is eighty years old too and she has dementia. My father has dementia too. 
Doctor: Okay. Do you smoke or drink alcohol? And how much?
Patient: No I do not drink or smoke.</t>
  </si>
  <si>
    <t>PMH:
- Father: CAD, CVA, dementia
- Mother: Dementia
- Both parents alive
SH:
- Denies tobacco or alcohol use</t>
  </si>
  <si>
    <t>Family History (FH): 
Father had coronary artery disease, underwent heart bypass surgery at age 60, and has had multiple strokes. Both parents are currently in their eighties and have dementia.
Social History (SH): 
The patient does not smoke or consume alcohol.</t>
  </si>
  <si>
    <t>Doctor: Do you have any major medical conditions that I should know about? 
Patient: Oh, yeah, I have a whole list of things going on, doctor. 
Doctor: Like what, ma'am? 
Patient: Well, I have high blood pressure, hypothyroidism, arthritis, and G E R D.
Doctor: I see, what about any mental health, or neurological diseases? 
Patient: Um, I have an anxiety disorder, and I had migraines about thirty years ago. 
Doctor: Thank you, I also see on my chart that you've had Morton's neuromas before, is that true? 
Patient: Yeah, I have one on both feet.</t>
  </si>
  <si>
    <t>PMH:
1. Hypertension.
2. Hypothyroidism.
3. Arthritis.
4. GERD.
5. Anxiety disorder.
6. Morton's neuromas.
7. Migraines (remote).</t>
  </si>
  <si>
    <t>Past Medical History (PMH): The patient has a history of high blood pressure, hypothyroidism, arthritis, gastroesophageal reflux disease (GERD), anxiety disorder, migraines (resolved 30 years ago), and bilateral Morton's neuromas.</t>
  </si>
  <si>
    <t>Doctor: Are you taking Citalopram for depression?
Patient: Yes, I take it once a day.
Patient: It is ten M G tablet.
Doctor: Is that so?
Patient: Yes.
Doctor: What do you take for pain?
Patient: Just Tramadol as needed.</t>
  </si>
  <si>
    <t>Meds:
- Citalopram 10 mg daily for depression.
- Tramadol as needed for pain.</t>
  </si>
  <si>
    <t>Medications (Meds): 
1. Citalopram 10mg daily for depression
2. Tramadol as needed for pain</t>
  </si>
  <si>
    <t>Doctor: Have you experienced any headaches or blackouts recently?
Patient: No.
Doctor: Dizziness or seizure?
Patient: Nope.
Doctor: Any history of stroke? 
Patient: No. 
Doctor: Okay, good.</t>
  </si>
  <si>
    <t>No headaches, blackouts, dizziness, seizure, or history of stroke.</t>
  </si>
  <si>
    <t>Review of Systems (ROS): No recent headaches, blackouts, dizziness, or seizures. No history of stroke.</t>
  </si>
  <si>
    <t>Doctor: So, to double check, you have a history of hay fever and asthma, correct? 
Patient: Yes. I was also recently diagnosed with cervical dysplasia. I found out shortly after my last O B G Y N visit. 
Doctor: And are you planning to follow up with your O B G Y N in the upcoming months? 
Patient: Yeah, the next visit is scheduled and everything.</t>
  </si>
  <si>
    <t>PMH:
- Hay fever
- Asthma
- Cervical dysplasia.</t>
  </si>
  <si>
    <t>Past Medical History (PMH): Patient has a history of hay fever and asthma. Recently diagnosed with cervical dysplasia.
Plan: Patient has a follow-up visit scheduled with her OBGYN to manage cervical dysplasia.</t>
  </si>
  <si>
    <t>Doctor: Hi again! How has your acne been since you started spironolactone? Patient: It has improved. Doctor: Have you experienced an increase in thirst, mood changes or unusual fatigue? Patient: No.</t>
  </si>
  <si>
    <t>No acute complaints.</t>
  </si>
  <si>
    <t>Chief Complaint (CC): 
Follow-up for acne treatment.
History of Present Illness (HPI): 
The patient reports an improvement in acne since starting spironolactone. No new or worsening symptoms have been reported.
Review of Systems (ROS): 
No increase in thirst, mood changes, or unusual fatigue.
Medications (Meds): 
Spironolactone.
Assessment: 
Improvement in acne with spironolactone treatment.
Plan: 
Continue current treatment with spironolactone. Monitor for potential side effects. Follow-up as scheduled.</t>
  </si>
  <si>
    <t>Doctor: Where do you work? Patient: I am a truck driver. It is a great construction company. I work for them. Doctor: Smoke? Patient: Yes. Doctor: Cigarette or something else? Patient: I smoke.</t>
  </si>
  <si>
    <t>**Social History (SH):** The patient is a truck driver. He smokes cigarettes.</t>
  </si>
  <si>
    <t>Social History (SH): The patient is a truck driver for a construction company. He is a current smoker.</t>
  </si>
  <si>
    <t>Doctor: Do you have any medical conditions you should know about? Patient: I have high blood pressure and asthma. Doctor: I also see here that you have cervical cancer, can you tell me more about that? Patient: Yes, I was diagnosed at age 15. Doctor: How would you describe the progression of your cancer? Patient: Now, um, I would say that it is latent.</t>
  </si>
  <si>
    <t>PMH:
- Hypertension
- Asthma
- Cervical cancer (diagnosed at age 15) - latent.</t>
  </si>
  <si>
    <t>Past Medical History (PMH): 
The patient has a history of high blood pressure and asthma. She was diagnosed with cervical cancer at the age of 15, which is currently in a latent stage.</t>
  </si>
  <si>
    <t>Doctor: As per your chart, I see you have C O P D and hypertension._x000D_
Patient: Yes that is right._x000D_
Doctor: Okay.</t>
  </si>
  <si>
    <t>PMH:
- COPD
- Hypertension</t>
  </si>
  <si>
    <t>Past Medical History (PMH): Patient has a history of Chronic Obstructive Pulmonary Disease (COPD) and hypertension.</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</si>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</sst>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sz val="12"/>
      <color indexed="8"/>
      <name val="Helvetica Neue"/>
      <family val="2"/>
    </font>
    <font>
      <b/>
      <sz val="10"/>
      <color indexed="8"/>
      <name val="Helvetica Neue"/>
      <family val="2"/>
    </font>
    <font>
      <sz val="10"/>
      <color indexed="8"/>
      <name val="Helvetica Neue"/>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9"/>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2">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0" fillId="0" borderId="4" xfId="0" applyBorder="1" applyAlignment="1">
      <alignment vertical="top"/>
    </xf>
    <xf numFmtId="49" fontId="0" fillId="0" borderId="4" xfId="0" applyNumberFormat="1" applyBorder="1">
      <alignment vertical="top" wrapText="1"/>
    </xf>
    <xf numFmtId="0" fontId="0" fillId="0" borderId="4" xfId="0" applyNumberFormat="1" applyBorder="1" applyAlignment="1">
      <alignment vertical="top"/>
    </xf>
    <xf numFmtId="49" fontId="0" fillId="0" borderId="6" xfId="0" applyNumberFormat="1" applyBorder="1" applyAlignment="1">
      <alignment vertical="top"/>
    </xf>
    <xf numFmtId="0" fontId="0" fillId="0" borderId="7" xfId="0" applyBorder="1" applyAlignment="1">
      <alignment vertical="top"/>
    </xf>
    <xf numFmtId="49" fontId="0" fillId="0" borderId="7" xfId="0" applyNumberFormat="1" applyBorder="1" applyAlignment="1">
      <alignment vertical="top"/>
    </xf>
    <xf numFmtId="49" fontId="0" fillId="0" borderId="7" xfId="0" applyNumberFormat="1" applyBorder="1">
      <alignment vertical="top" wrapText="1"/>
    </xf>
    <xf numFmtId="0" fontId="0" fillId="0" borderId="7" xfId="0" applyNumberFormat="1" applyBorder="1" applyAlignment="1">
      <alignment vertical="top"/>
    </xf>
    <xf numFmtId="49" fontId="0" fillId="0" borderId="6" xfId="0" applyNumberFormat="1" applyBorder="1">
      <alignment vertical="top" wrapText="1"/>
    </xf>
    <xf numFmtId="49" fontId="3" fillId="0" borderId="3" xfId="0" applyNumberFormat="1" applyFont="1" applyBorder="1" applyAlignment="1">
      <alignment vertical="top"/>
    </xf>
    <xf numFmtId="49" fontId="3" fillId="0" borderId="6" xfId="0" applyNumberFormat="1" applyFont="1" applyBorder="1" applyAlignment="1">
      <alignment vertical="top"/>
    </xf>
    <xf numFmtId="49" fontId="3" fillId="0" borderId="7" xfId="0" applyNumberFormat="1" applyFont="1" applyBorder="1">
      <alignment vertical="top" wrapText="1"/>
    </xf>
    <xf numFmtId="49" fontId="2" fillId="4" borderId="1" xfId="0" applyNumberFormat="1" applyFont="1" applyFill="1" applyBorder="1" applyAlignment="1">
      <alignment vertical="top"/>
    </xf>
    <xf numFmtId="49" fontId="2" fillId="2" borderId="1" xfId="0" applyNumberFormat="1" applyFont="1" applyFill="1" applyBorder="1">
      <alignment vertical="top" wrapText="1"/>
    </xf>
    <xf numFmtId="49" fontId="2" fillId="3" borderId="2" xfId="0" applyNumberFormat="1" applyFont="1" applyFill="1" applyBorder="1">
      <alignment vertical="top" wrapText="1"/>
    </xf>
    <xf numFmtId="49" fontId="2" fillId="3" borderId="5" xfId="0" applyNumberFormat="1" applyFont="1" applyFill="1" applyBorder="1">
      <alignment vertical="top" wrapText="1"/>
    </xf>
    <xf numFmtId="0" fontId="0" fillId="0" borderId="0" xfId="0" applyNumberFormat="1">
      <alignment vertical="top" wrapText="1"/>
    </xf>
    <xf numFmtId="0" fontId="3" fillId="0" borderId="0" xfId="0" applyNumberFormat="1" applyFont="1">
      <alignment vertical="top" wrapText="1"/>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1"/>
  <sheetViews>
    <sheetView showGridLines="0" tabSelected="1" topLeftCell="B1" workbookViewId="0">
      <selection activeCell="C2" sqref="C2"/>
    </sheetView>
  </sheetViews>
  <sheetFormatPr baseColWidth="10" defaultColWidth="8.33203125" defaultRowHeight="20" customHeight="1" x14ac:dyDescent="0.15"/>
  <cols>
    <col min="1" max="1" width="166.6640625" style="19" customWidth="1"/>
    <col min="2" max="2" width="166.6640625" style="1" customWidth="1"/>
    <col min="3" max="4" width="12.6640625" style="1" customWidth="1"/>
    <col min="5" max="5" width="166.6640625" style="1" customWidth="1"/>
    <col min="6" max="7" width="11.83203125" style="1" customWidth="1"/>
    <col min="8" max="8" width="8.33203125" style="1" customWidth="1"/>
    <col min="9" max="16384" width="8.33203125" style="1"/>
  </cols>
  <sheetData>
    <row r="1" spans="1:7" ht="27.75" customHeight="1" x14ac:dyDescent="0.15">
      <c r="A1" s="21" t="s">
        <v>0</v>
      </c>
      <c r="B1" s="21"/>
      <c r="C1" s="21"/>
      <c r="D1" s="21"/>
      <c r="E1" s="21"/>
      <c r="F1" s="21"/>
      <c r="G1" s="21"/>
    </row>
    <row r="2" spans="1:7" ht="20.25" customHeight="1" x14ac:dyDescent="0.15">
      <c r="A2" s="16" t="s">
        <v>1</v>
      </c>
      <c r="B2" s="2" t="s">
        <v>2</v>
      </c>
      <c r="C2" s="2" t="s">
        <v>3</v>
      </c>
      <c r="D2" s="15" t="s">
        <v>4</v>
      </c>
      <c r="E2" s="2" t="s">
        <v>5</v>
      </c>
      <c r="F2" s="2" t="s">
        <v>3</v>
      </c>
      <c r="G2" s="15" t="s">
        <v>6</v>
      </c>
    </row>
    <row r="3" spans="1:7" ht="356.25" customHeight="1" x14ac:dyDescent="0.15">
      <c r="A3" s="17" t="s">
        <v>7</v>
      </c>
      <c r="B3" s="12" t="s">
        <v>8</v>
      </c>
      <c r="C3" s="3">
        <v>1</v>
      </c>
      <c r="D3" s="3">
        <v>4</v>
      </c>
      <c r="E3" s="4" t="s">
        <v>9</v>
      </c>
      <c r="F3" s="3">
        <v>5</v>
      </c>
      <c r="G3" s="5">
        <v>5</v>
      </c>
    </row>
    <row r="4" spans="1:7" ht="44" customHeight="1" x14ac:dyDescent="0.15">
      <c r="A4" s="18" t="s">
        <v>10</v>
      </c>
      <c r="B4" s="6" t="s">
        <v>11</v>
      </c>
      <c r="C4" s="7">
        <v>4</v>
      </c>
      <c r="D4" s="7">
        <v>4</v>
      </c>
      <c r="E4" s="9" t="s">
        <v>12</v>
      </c>
      <c r="F4" s="7">
        <v>5</v>
      </c>
      <c r="G4" s="10">
        <v>5</v>
      </c>
    </row>
    <row r="5" spans="1:7" ht="176" customHeight="1" x14ac:dyDescent="0.15">
      <c r="A5" s="18" t="s">
        <v>13</v>
      </c>
      <c r="B5" s="13" t="s">
        <v>16</v>
      </c>
      <c r="C5" s="7">
        <v>2</v>
      </c>
      <c r="D5" s="7">
        <v>3</v>
      </c>
      <c r="E5" s="9" t="s">
        <v>14</v>
      </c>
      <c r="F5" s="7">
        <v>5</v>
      </c>
      <c r="G5" s="10">
        <v>5</v>
      </c>
    </row>
    <row r="6" spans="1:7" ht="176" customHeight="1" x14ac:dyDescent="0.15">
      <c r="A6" s="18" t="s">
        <v>15</v>
      </c>
      <c r="B6" s="6" t="s">
        <v>16</v>
      </c>
      <c r="C6" s="7">
        <v>0</v>
      </c>
      <c r="D6" s="7">
        <v>2</v>
      </c>
      <c r="E6" s="9" t="s">
        <v>17</v>
      </c>
      <c r="F6" s="7">
        <v>5</v>
      </c>
      <c r="G6" s="10">
        <v>5</v>
      </c>
    </row>
    <row r="7" spans="1:7" ht="140" customHeight="1" x14ac:dyDescent="0.15">
      <c r="A7" s="18" t="s">
        <v>18</v>
      </c>
      <c r="B7" s="11" t="s">
        <v>19</v>
      </c>
      <c r="C7" s="7">
        <v>4</v>
      </c>
      <c r="D7" s="7">
        <v>4</v>
      </c>
      <c r="E7" s="9" t="s">
        <v>20</v>
      </c>
      <c r="F7" s="7">
        <v>5</v>
      </c>
      <c r="G7" s="10">
        <v>5</v>
      </c>
    </row>
    <row r="8" spans="1:7" ht="20" customHeight="1" x14ac:dyDescent="0.15">
      <c r="A8" s="18" t="s">
        <v>21</v>
      </c>
      <c r="B8" s="6" t="s">
        <v>22</v>
      </c>
      <c r="C8" s="7">
        <v>2</v>
      </c>
      <c r="D8" s="7">
        <v>3</v>
      </c>
      <c r="E8" s="8" t="s">
        <v>23</v>
      </c>
      <c r="F8" s="7">
        <v>5</v>
      </c>
      <c r="G8" s="10">
        <v>5</v>
      </c>
    </row>
    <row r="9" spans="1:7" ht="380" customHeight="1" x14ac:dyDescent="0.15">
      <c r="A9" s="18" t="s">
        <v>24</v>
      </c>
      <c r="B9" s="11" t="s">
        <v>25</v>
      </c>
      <c r="C9" s="7">
        <v>4</v>
      </c>
      <c r="D9" s="7">
        <v>5</v>
      </c>
      <c r="E9" s="9" t="s">
        <v>26</v>
      </c>
      <c r="F9" s="7">
        <v>5</v>
      </c>
      <c r="G9" s="10">
        <v>5</v>
      </c>
    </row>
    <row r="10" spans="1:7" ht="128" customHeight="1" x14ac:dyDescent="0.15">
      <c r="A10" s="18" t="s">
        <v>27</v>
      </c>
      <c r="B10" s="11" t="s">
        <v>28</v>
      </c>
      <c r="C10" s="7">
        <v>3</v>
      </c>
      <c r="D10" s="7">
        <v>3</v>
      </c>
      <c r="E10" s="9" t="s">
        <v>29</v>
      </c>
      <c r="F10" s="7">
        <v>5</v>
      </c>
      <c r="G10" s="10">
        <v>5</v>
      </c>
    </row>
    <row r="11" spans="1:7" ht="32" customHeight="1" x14ac:dyDescent="0.15">
      <c r="A11" s="18" t="s">
        <v>30</v>
      </c>
      <c r="B11" s="6" t="s">
        <v>31</v>
      </c>
      <c r="C11" s="7">
        <v>2</v>
      </c>
      <c r="D11" s="7">
        <v>3</v>
      </c>
      <c r="E11" s="14" t="s">
        <v>32</v>
      </c>
      <c r="F11" s="7">
        <v>5</v>
      </c>
      <c r="G11" s="10">
        <v>5</v>
      </c>
    </row>
    <row r="12" spans="1:7" ht="176" customHeight="1" x14ac:dyDescent="0.15">
      <c r="A12" s="18" t="s">
        <v>33</v>
      </c>
      <c r="B12" s="6" t="s">
        <v>34</v>
      </c>
      <c r="C12" s="7">
        <v>0</v>
      </c>
      <c r="D12" s="7">
        <v>1</v>
      </c>
      <c r="E12" s="14" t="s">
        <v>35</v>
      </c>
      <c r="F12" s="7">
        <v>4</v>
      </c>
      <c r="G12" s="10">
        <v>4</v>
      </c>
    </row>
    <row r="13" spans="1:7" ht="392" customHeight="1" x14ac:dyDescent="0.15">
      <c r="A13" s="18" t="s">
        <v>36</v>
      </c>
      <c r="B13" s="11" t="s">
        <v>37</v>
      </c>
      <c r="C13" s="7">
        <v>4</v>
      </c>
      <c r="D13" s="7">
        <v>4</v>
      </c>
      <c r="E13" s="9" t="s">
        <v>38</v>
      </c>
      <c r="F13" s="7">
        <v>5</v>
      </c>
      <c r="G13" s="10">
        <v>5</v>
      </c>
    </row>
    <row r="14" spans="1:7" ht="104" customHeight="1" x14ac:dyDescent="0.15">
      <c r="A14" s="18" t="s">
        <v>39</v>
      </c>
      <c r="B14" s="6" t="s">
        <v>40</v>
      </c>
      <c r="C14" s="7">
        <v>3</v>
      </c>
      <c r="D14" s="7">
        <v>1</v>
      </c>
      <c r="E14" s="9" t="s">
        <v>41</v>
      </c>
      <c r="F14" s="7">
        <v>5</v>
      </c>
      <c r="G14" s="10">
        <v>5</v>
      </c>
    </row>
    <row r="15" spans="1:7" ht="32" customHeight="1" x14ac:dyDescent="0.15">
      <c r="A15" s="18" t="s">
        <v>42</v>
      </c>
      <c r="B15" s="11" t="s">
        <v>43</v>
      </c>
      <c r="C15" s="7">
        <v>4</v>
      </c>
      <c r="D15" s="7">
        <v>3</v>
      </c>
      <c r="E15" s="8" t="s">
        <v>44</v>
      </c>
      <c r="F15" s="7">
        <v>5</v>
      </c>
      <c r="G15" s="10">
        <v>5</v>
      </c>
    </row>
    <row r="16" spans="1:7" ht="20" customHeight="1" x14ac:dyDescent="0.15">
      <c r="A16" s="18" t="s">
        <v>45</v>
      </c>
      <c r="B16" s="6" t="s">
        <v>46</v>
      </c>
      <c r="C16" s="7">
        <v>4</v>
      </c>
      <c r="D16" s="7">
        <v>3</v>
      </c>
      <c r="E16" s="8" t="s">
        <v>47</v>
      </c>
      <c r="F16" s="7">
        <v>5</v>
      </c>
      <c r="G16" s="10">
        <v>5</v>
      </c>
    </row>
    <row r="17" spans="1:7" ht="409.5" customHeight="1" x14ac:dyDescent="0.15">
      <c r="A17" s="18" t="s">
        <v>48</v>
      </c>
      <c r="B17" s="11" t="s">
        <v>49</v>
      </c>
      <c r="C17" s="7">
        <v>4</v>
      </c>
      <c r="D17" s="7">
        <v>4</v>
      </c>
      <c r="E17" s="9" t="s">
        <v>50</v>
      </c>
      <c r="F17" s="7">
        <v>5</v>
      </c>
      <c r="G17" s="10">
        <v>5</v>
      </c>
    </row>
    <row r="18" spans="1:7" ht="44" customHeight="1" x14ac:dyDescent="0.15">
      <c r="A18" s="18" t="s">
        <v>51</v>
      </c>
      <c r="B18" s="11" t="s">
        <v>52</v>
      </c>
      <c r="C18" s="7">
        <v>5</v>
      </c>
      <c r="D18" s="7">
        <v>5</v>
      </c>
      <c r="E18" s="9" t="s">
        <v>53</v>
      </c>
      <c r="F18" s="7">
        <v>5</v>
      </c>
      <c r="G18" s="7">
        <v>5</v>
      </c>
    </row>
    <row r="19" spans="1:7" ht="20" customHeight="1" x14ac:dyDescent="0.15">
      <c r="A19" s="18" t="s">
        <v>54</v>
      </c>
      <c r="B19" s="6" t="s">
        <v>55</v>
      </c>
      <c r="C19" s="7">
        <v>4</v>
      </c>
      <c r="D19" s="7">
        <v>5</v>
      </c>
      <c r="E19" s="8" t="s">
        <v>56</v>
      </c>
      <c r="F19" s="7">
        <v>5</v>
      </c>
      <c r="G19" s="7">
        <v>5</v>
      </c>
    </row>
    <row r="20" spans="1:7" ht="20" customHeight="1" x14ac:dyDescent="0.15">
      <c r="A20" s="18" t="s">
        <v>57</v>
      </c>
      <c r="B20" s="6" t="s">
        <v>58</v>
      </c>
      <c r="C20" s="7">
        <v>4</v>
      </c>
      <c r="D20" s="7">
        <v>5</v>
      </c>
      <c r="E20" s="8" t="s">
        <v>59</v>
      </c>
      <c r="F20" s="7">
        <v>5</v>
      </c>
      <c r="G20" s="7">
        <v>5</v>
      </c>
    </row>
    <row r="21" spans="1:7" ht="356" customHeight="1" x14ac:dyDescent="0.15">
      <c r="A21" s="18" t="s">
        <v>60</v>
      </c>
      <c r="B21" s="11" t="s">
        <v>61</v>
      </c>
      <c r="C21" s="7">
        <v>4</v>
      </c>
      <c r="D21" s="7">
        <v>4</v>
      </c>
      <c r="E21" s="9" t="s">
        <v>62</v>
      </c>
      <c r="F21" s="7">
        <v>5</v>
      </c>
      <c r="G21" s="7">
        <v>5</v>
      </c>
    </row>
    <row r="22" spans="1:7" ht="356" customHeight="1" x14ac:dyDescent="0.15">
      <c r="A22" s="18" t="s">
        <v>63</v>
      </c>
      <c r="B22" s="6" t="s">
        <v>8</v>
      </c>
      <c r="C22" s="7">
        <v>4</v>
      </c>
      <c r="D22" s="7">
        <v>4</v>
      </c>
      <c r="E22" s="9" t="s">
        <v>64</v>
      </c>
      <c r="F22" s="7">
        <v>5</v>
      </c>
      <c r="G22" s="7">
        <v>5</v>
      </c>
    </row>
    <row r="23" spans="1:7" ht="80" customHeight="1" x14ac:dyDescent="0.15">
      <c r="A23" s="18" t="s">
        <v>65</v>
      </c>
      <c r="B23" s="11" t="s">
        <v>66</v>
      </c>
      <c r="C23" s="7">
        <v>5</v>
      </c>
      <c r="D23" s="7">
        <v>5</v>
      </c>
      <c r="E23" s="8" t="s">
        <v>67</v>
      </c>
      <c r="F23" s="7">
        <v>5</v>
      </c>
      <c r="G23" s="7">
        <v>5</v>
      </c>
    </row>
    <row r="24" spans="1:7" ht="356" customHeight="1" x14ac:dyDescent="0.15">
      <c r="A24" s="18" t="s">
        <v>68</v>
      </c>
      <c r="B24" s="11" t="s">
        <v>69</v>
      </c>
      <c r="C24" s="7">
        <v>5</v>
      </c>
      <c r="D24" s="7">
        <v>5</v>
      </c>
      <c r="E24" s="9" t="s">
        <v>70</v>
      </c>
      <c r="F24" s="7">
        <v>5</v>
      </c>
      <c r="G24" s="7">
        <v>5</v>
      </c>
    </row>
    <row r="25" spans="1:7" ht="392" customHeight="1" x14ac:dyDescent="0.15">
      <c r="A25" s="18" t="s">
        <v>71</v>
      </c>
      <c r="B25" s="6" t="s">
        <v>72</v>
      </c>
      <c r="C25" s="7">
        <v>2</v>
      </c>
      <c r="D25" s="7">
        <v>2</v>
      </c>
      <c r="E25" s="9" t="s">
        <v>73</v>
      </c>
      <c r="F25" s="7">
        <v>4</v>
      </c>
      <c r="G25" s="7">
        <v>5</v>
      </c>
    </row>
    <row r="26" spans="1:7" ht="56" customHeight="1" x14ac:dyDescent="0.15">
      <c r="A26" s="18" t="s">
        <v>74</v>
      </c>
      <c r="B26" s="11" t="s">
        <v>75</v>
      </c>
      <c r="C26" s="7">
        <v>5</v>
      </c>
      <c r="D26" s="7">
        <v>5</v>
      </c>
      <c r="E26" s="8" t="s">
        <v>76</v>
      </c>
      <c r="F26" s="7">
        <v>5</v>
      </c>
      <c r="G26" s="7">
        <v>5</v>
      </c>
    </row>
    <row r="27" spans="1:7" ht="56" customHeight="1" x14ac:dyDescent="0.15">
      <c r="A27" s="18" t="s">
        <v>77</v>
      </c>
      <c r="B27" s="11" t="s">
        <v>78</v>
      </c>
      <c r="C27" s="7">
        <v>3</v>
      </c>
      <c r="D27" s="7">
        <v>3</v>
      </c>
      <c r="E27" s="9" t="s">
        <v>79</v>
      </c>
      <c r="F27" s="7">
        <v>5</v>
      </c>
      <c r="G27" s="7">
        <v>5</v>
      </c>
    </row>
    <row r="28" spans="1:7" ht="20" customHeight="1" x14ac:dyDescent="0.15">
      <c r="A28" s="18" t="s">
        <v>80</v>
      </c>
      <c r="B28" s="6" t="s">
        <v>81</v>
      </c>
      <c r="C28" s="7">
        <v>4</v>
      </c>
      <c r="D28" s="7">
        <v>4</v>
      </c>
      <c r="E28" s="8" t="s">
        <v>82</v>
      </c>
      <c r="F28" s="7">
        <v>5</v>
      </c>
      <c r="G28" s="7">
        <v>5</v>
      </c>
    </row>
    <row r="29" spans="1:7" ht="368" customHeight="1" x14ac:dyDescent="0.15">
      <c r="A29" s="18" t="s">
        <v>83</v>
      </c>
      <c r="B29" s="11" t="s">
        <v>84</v>
      </c>
      <c r="C29" s="7">
        <v>4</v>
      </c>
      <c r="D29" s="7">
        <v>4</v>
      </c>
      <c r="E29" s="9" t="s">
        <v>85</v>
      </c>
      <c r="F29" s="7">
        <v>5</v>
      </c>
      <c r="G29" s="7">
        <v>5</v>
      </c>
    </row>
    <row r="30" spans="1:7" ht="20" customHeight="1" x14ac:dyDescent="0.15">
      <c r="A30" s="18" t="s">
        <v>86</v>
      </c>
      <c r="B30" s="6" t="s">
        <v>87</v>
      </c>
      <c r="C30" s="7">
        <v>4</v>
      </c>
      <c r="D30" s="7">
        <v>3</v>
      </c>
      <c r="E30" s="8" t="s">
        <v>88</v>
      </c>
      <c r="F30" s="7">
        <v>5</v>
      </c>
      <c r="G30" s="7">
        <v>5</v>
      </c>
    </row>
    <row r="31" spans="1:7" ht="32" customHeight="1" x14ac:dyDescent="0.15">
      <c r="A31" s="18" t="s">
        <v>89</v>
      </c>
      <c r="B31" s="11" t="s">
        <v>90</v>
      </c>
      <c r="C31" s="7">
        <v>4</v>
      </c>
      <c r="D31" s="7">
        <v>4</v>
      </c>
      <c r="E31" s="8" t="s">
        <v>91</v>
      </c>
      <c r="F31" s="7">
        <v>5</v>
      </c>
      <c r="G31" s="7">
        <v>5</v>
      </c>
    </row>
    <row r="32" spans="1:7" ht="212" customHeight="1" x14ac:dyDescent="0.15">
      <c r="A32" s="18" t="s">
        <v>92</v>
      </c>
      <c r="B32" s="6" t="s">
        <v>93</v>
      </c>
      <c r="C32" s="7">
        <v>4</v>
      </c>
      <c r="D32" s="7">
        <v>5</v>
      </c>
      <c r="E32" s="9" t="s">
        <v>94</v>
      </c>
      <c r="F32" s="7">
        <v>5</v>
      </c>
      <c r="G32" s="7">
        <v>5</v>
      </c>
    </row>
    <row r="33" spans="1:7" ht="404" customHeight="1" x14ac:dyDescent="0.15">
      <c r="A33" s="18" t="s">
        <v>95</v>
      </c>
      <c r="B33" s="11" t="s">
        <v>96</v>
      </c>
      <c r="C33" s="7">
        <v>5</v>
      </c>
      <c r="D33" s="7">
        <v>5</v>
      </c>
      <c r="E33" s="9" t="s">
        <v>97</v>
      </c>
      <c r="F33" s="7">
        <v>5</v>
      </c>
      <c r="G33" s="7">
        <v>5</v>
      </c>
    </row>
    <row r="34" spans="1:7" ht="80" customHeight="1" x14ac:dyDescent="0.15">
      <c r="A34" s="18" t="s">
        <v>98</v>
      </c>
      <c r="B34" s="6" t="s">
        <v>99</v>
      </c>
      <c r="C34" s="7">
        <v>4</v>
      </c>
      <c r="D34" s="7">
        <v>4</v>
      </c>
      <c r="E34" s="8" t="s">
        <v>100</v>
      </c>
      <c r="F34" s="7">
        <v>5</v>
      </c>
      <c r="G34" s="7">
        <v>5</v>
      </c>
    </row>
    <row r="35" spans="1:7" ht="104" customHeight="1" x14ac:dyDescent="0.15">
      <c r="A35" s="18" t="s">
        <v>101</v>
      </c>
      <c r="B35" s="6" t="s">
        <v>102</v>
      </c>
      <c r="C35" s="7">
        <v>3</v>
      </c>
      <c r="D35" s="7">
        <v>3</v>
      </c>
      <c r="E35" s="9" t="s">
        <v>103</v>
      </c>
      <c r="F35" s="7">
        <v>5</v>
      </c>
      <c r="G35" s="7">
        <v>5</v>
      </c>
    </row>
    <row r="36" spans="1:7" ht="32" customHeight="1" x14ac:dyDescent="0.15">
      <c r="A36" s="18" t="s">
        <v>104</v>
      </c>
      <c r="B36" s="6" t="s">
        <v>105</v>
      </c>
      <c r="C36" s="7">
        <v>5</v>
      </c>
      <c r="D36" s="7">
        <v>5</v>
      </c>
      <c r="E36" s="8" t="s">
        <v>105</v>
      </c>
      <c r="F36" s="7">
        <v>5</v>
      </c>
      <c r="G36" s="7">
        <v>5</v>
      </c>
    </row>
    <row r="37" spans="1:7" ht="20" customHeight="1" x14ac:dyDescent="0.15">
      <c r="A37" s="18" t="s">
        <v>106</v>
      </c>
      <c r="B37" s="6" t="s">
        <v>107</v>
      </c>
      <c r="C37" s="7">
        <v>5</v>
      </c>
      <c r="D37" s="7">
        <v>5</v>
      </c>
      <c r="E37" s="8" t="s">
        <v>108</v>
      </c>
      <c r="F37" s="7">
        <v>5</v>
      </c>
      <c r="G37" s="7">
        <v>5</v>
      </c>
    </row>
    <row r="38" spans="1:7" ht="176" customHeight="1" x14ac:dyDescent="0.15">
      <c r="A38" s="18" t="s">
        <v>109</v>
      </c>
      <c r="B38" s="11" t="s">
        <v>110</v>
      </c>
      <c r="C38" s="7">
        <v>4</v>
      </c>
      <c r="D38" s="7">
        <v>4</v>
      </c>
      <c r="E38" s="14" t="s">
        <v>111</v>
      </c>
      <c r="F38" s="7">
        <v>5</v>
      </c>
      <c r="G38" s="7">
        <v>5</v>
      </c>
    </row>
    <row r="39" spans="1:7" ht="56" customHeight="1" x14ac:dyDescent="0.15">
      <c r="A39" s="18" t="s">
        <v>112</v>
      </c>
      <c r="B39" s="6" t="s">
        <v>113</v>
      </c>
      <c r="C39" s="7">
        <v>4</v>
      </c>
      <c r="D39" s="7">
        <v>4</v>
      </c>
      <c r="E39" s="8" t="s">
        <v>114</v>
      </c>
      <c r="F39" s="7"/>
      <c r="G39" s="7">
        <v>4</v>
      </c>
    </row>
    <row r="40" spans="1:7" ht="409.5" customHeight="1" x14ac:dyDescent="0.15">
      <c r="A40" s="18" t="s">
        <v>115</v>
      </c>
      <c r="B40" s="11" t="s">
        <v>116</v>
      </c>
      <c r="C40" s="7">
        <v>5</v>
      </c>
      <c r="D40" s="7">
        <v>5</v>
      </c>
      <c r="E40" s="9" t="s">
        <v>117</v>
      </c>
      <c r="F40" s="7">
        <v>5</v>
      </c>
      <c r="G40" s="7">
        <v>5</v>
      </c>
    </row>
    <row r="41" spans="1:7" ht="20" customHeight="1" x14ac:dyDescent="0.15">
      <c r="A41" s="18" t="s">
        <v>118</v>
      </c>
      <c r="B41" s="6" t="s">
        <v>119</v>
      </c>
      <c r="C41" s="7">
        <v>3</v>
      </c>
      <c r="D41" s="7">
        <v>3</v>
      </c>
      <c r="E41" s="8" t="s">
        <v>120</v>
      </c>
      <c r="F41" s="7">
        <v>5</v>
      </c>
      <c r="G41" s="7">
        <v>5</v>
      </c>
    </row>
    <row r="42" spans="1:7" ht="140" customHeight="1" x14ac:dyDescent="0.15">
      <c r="A42" s="18" t="s">
        <v>121</v>
      </c>
      <c r="B42" s="11" t="s">
        <v>122</v>
      </c>
      <c r="C42" s="7">
        <v>4</v>
      </c>
      <c r="D42" s="7">
        <v>4</v>
      </c>
      <c r="E42" s="9" t="s">
        <v>123</v>
      </c>
      <c r="F42" s="7">
        <v>5</v>
      </c>
      <c r="G42" s="7">
        <v>5</v>
      </c>
    </row>
    <row r="43" spans="1:7" ht="104" customHeight="1" x14ac:dyDescent="0.15">
      <c r="A43" s="18" t="s">
        <v>124</v>
      </c>
      <c r="B43" s="11" t="s">
        <v>125</v>
      </c>
      <c r="C43" s="7">
        <v>4</v>
      </c>
      <c r="D43" s="7">
        <v>5</v>
      </c>
      <c r="E43" s="8" t="s">
        <v>126</v>
      </c>
      <c r="F43" s="7">
        <v>5</v>
      </c>
      <c r="G43" s="7">
        <v>5</v>
      </c>
    </row>
    <row r="44" spans="1:7" ht="92" customHeight="1" x14ac:dyDescent="0.15">
      <c r="A44" s="18" t="s">
        <v>127</v>
      </c>
      <c r="B44" s="11" t="s">
        <v>128</v>
      </c>
      <c r="C44" s="7">
        <v>4</v>
      </c>
      <c r="D44" s="7">
        <v>5</v>
      </c>
      <c r="E44" s="9" t="s">
        <v>129</v>
      </c>
      <c r="F44" s="7">
        <v>5</v>
      </c>
      <c r="G44" s="7">
        <v>5</v>
      </c>
    </row>
    <row r="45" spans="1:7" ht="92" customHeight="1" x14ac:dyDescent="0.15">
      <c r="A45" s="18" t="s">
        <v>130</v>
      </c>
      <c r="B45" s="6" t="s">
        <v>131</v>
      </c>
      <c r="C45" s="7">
        <v>4</v>
      </c>
      <c r="D45" s="7">
        <v>4</v>
      </c>
      <c r="E45" s="8" t="s">
        <v>132</v>
      </c>
      <c r="F45" s="7">
        <v>5</v>
      </c>
      <c r="G45" s="7">
        <v>5</v>
      </c>
    </row>
    <row r="46" spans="1:7" ht="56" customHeight="1" x14ac:dyDescent="0.15">
      <c r="A46" s="18" t="s">
        <v>133</v>
      </c>
      <c r="B46" s="11" t="s">
        <v>134</v>
      </c>
      <c r="C46" s="7">
        <v>4</v>
      </c>
      <c r="D46" s="7">
        <v>4</v>
      </c>
      <c r="E46" s="9" t="s">
        <v>135</v>
      </c>
      <c r="F46" s="7">
        <v>5</v>
      </c>
      <c r="G46" s="7">
        <v>5</v>
      </c>
    </row>
    <row r="47" spans="1:7" ht="212" customHeight="1" x14ac:dyDescent="0.15">
      <c r="A47" s="18" t="s">
        <v>136</v>
      </c>
      <c r="B47" s="6" t="s">
        <v>137</v>
      </c>
      <c r="C47" s="7">
        <v>4</v>
      </c>
      <c r="D47" s="7">
        <v>4</v>
      </c>
      <c r="E47" s="9" t="s">
        <v>138</v>
      </c>
      <c r="F47" s="7">
        <v>5</v>
      </c>
      <c r="G47" s="7">
        <v>5</v>
      </c>
    </row>
    <row r="48" spans="1:7" ht="20" customHeight="1" x14ac:dyDescent="0.15">
      <c r="A48" s="18" t="s">
        <v>139</v>
      </c>
      <c r="B48" s="6" t="s">
        <v>140</v>
      </c>
      <c r="C48" s="7">
        <v>4</v>
      </c>
      <c r="D48" s="7">
        <v>4</v>
      </c>
      <c r="E48" s="8" t="s">
        <v>141</v>
      </c>
      <c r="F48" s="7">
        <v>5</v>
      </c>
      <c r="G48" s="7">
        <v>5</v>
      </c>
    </row>
    <row r="49" spans="1:7" ht="56" customHeight="1" x14ac:dyDescent="0.15">
      <c r="A49" s="18" t="s">
        <v>142</v>
      </c>
      <c r="B49" s="11" t="s">
        <v>143</v>
      </c>
      <c r="C49" s="7">
        <v>5</v>
      </c>
      <c r="D49" s="7">
        <v>5</v>
      </c>
      <c r="E49" s="9" t="s">
        <v>144</v>
      </c>
      <c r="F49" s="7">
        <v>5</v>
      </c>
      <c r="G49" s="7">
        <v>5</v>
      </c>
    </row>
    <row r="50" spans="1:7" ht="44" customHeight="1" x14ac:dyDescent="0.15">
      <c r="A50" s="18" t="s">
        <v>145</v>
      </c>
      <c r="B50" s="11" t="s">
        <v>146</v>
      </c>
      <c r="C50" s="7">
        <v>5</v>
      </c>
      <c r="D50" s="7">
        <v>5</v>
      </c>
      <c r="E50" s="8" t="s">
        <v>147</v>
      </c>
      <c r="F50" s="7">
        <v>5</v>
      </c>
      <c r="G50" s="7">
        <v>5</v>
      </c>
    </row>
    <row r="51" spans="1:7" ht="20" customHeight="1" x14ac:dyDescent="0.15">
      <c r="A51" s="20" t="s">
        <v>148</v>
      </c>
      <c r="C51" s="1">
        <f>AVERAGE(C3:C50)</f>
        <v>3.7083333333333335</v>
      </c>
      <c r="D51" s="1">
        <f>AVERAGE(D3:D50)</f>
        <v>3.9166666666666665</v>
      </c>
      <c r="F51" s="1">
        <f>AVERAGE(F3:F50)</f>
        <v>4.957446808510638</v>
      </c>
      <c r="G51" s="1">
        <f>AVERAGE(G3:G50)</f>
        <v>4.958333333333333</v>
      </c>
    </row>
  </sheetData>
  <mergeCells count="1">
    <mergeCell ref="A1:G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tobj6074</cp:lastModifiedBy>
  <dcterms:created xsi:type="dcterms:W3CDTF">2025-12-17T21:20:43Z</dcterms:created>
  <dcterms:modified xsi:type="dcterms:W3CDTF">2025-12-17T21:21:39Z</dcterms:modified>
</cp:coreProperties>
</file>